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T:\Ofir\PERSONAL\OH-3D\"/>
    </mc:Choice>
  </mc:AlternateContent>
  <xr:revisionPtr revIDLastSave="0" documentId="13_ncr:1_{FB815409-B616-4E93-B927-088CB888AEA0}" xr6:coauthVersionLast="47" xr6:coauthVersionMax="47" xr10:uidLastSave="{00000000-0000-0000-0000-000000000000}"/>
  <bookViews>
    <workbookView xWindow="28680" yWindow="-120" windowWidth="29040" windowHeight="15720" xr2:uid="{BC9BDF15-C0EC-4A6E-A9E1-D475D3ECA1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1" l="1"/>
  <c r="J16" i="1"/>
  <c r="J15" i="1"/>
  <c r="J14" i="1"/>
  <c r="J13" i="1"/>
  <c r="J12" i="1"/>
  <c r="J11" i="1"/>
  <c r="J18" i="1" s="1"/>
  <c r="E9" i="1"/>
  <c r="J10" i="1" s="1"/>
  <c r="E8" i="1"/>
  <c r="J9" i="1" s="1"/>
  <c r="E7" i="1"/>
  <c r="J8" i="1" s="1"/>
  <c r="E6" i="1"/>
  <c r="J7" i="1" s="1"/>
  <c r="J20" i="1" l="1"/>
  <c r="J24" i="1" s="1"/>
</calcChain>
</file>

<file path=xl/sharedStrings.xml><?xml version="1.0" encoding="utf-8"?>
<sst xmlns="http://schemas.openxmlformats.org/spreadsheetml/2006/main" count="40" uniqueCount="25">
  <si>
    <t>PLA-BASIC</t>
  </si>
  <si>
    <t>PLA-MARBLE</t>
  </si>
  <si>
    <t>PLA-SPECIAL</t>
  </si>
  <si>
    <t>PTEG</t>
  </si>
  <si>
    <t>חומר</t>
  </si>
  <si>
    <t>מחיר - שקל/שעה</t>
  </si>
  <si>
    <t>מחיר - שקל/קילו</t>
  </si>
  <si>
    <t>מחיר - שקל/גרם</t>
  </si>
  <si>
    <t>עבודה</t>
  </si>
  <si>
    <t>מידול</t>
  </si>
  <si>
    <t>הדפסה</t>
  </si>
  <si>
    <t>תוספות</t>
  </si>
  <si>
    <t>מחיר</t>
  </si>
  <si>
    <t>לד שולחני</t>
  </si>
  <si>
    <t>לד בודד</t>
  </si>
  <si>
    <t>הרכבה</t>
  </si>
  <si>
    <t>מגנטים (שקל/מגנט)</t>
  </si>
  <si>
    <t>כמות</t>
  </si>
  <si>
    <t>פרויקט XX</t>
  </si>
  <si>
    <t>הנחת כמות</t>
  </si>
  <si>
    <t>מחיר יחידה</t>
  </si>
  <si>
    <t>עלות מידול</t>
  </si>
  <si>
    <t>תעריפים ועלויות</t>
  </si>
  <si>
    <t>פירוט מחיר</t>
  </si>
  <si>
    <t>סה"כ מידול + יחידות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</si>
</sst>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,##0.0"/>
  </numFmts>
  <fonts count="1" x14ac:knownFonts="1">
    <font>
      <sz val="11"/>
      <color theme="1"/>
      <name val="Aptos Narrow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20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68E47-E01B-4FCF-B792-A3FF97717C2C}">
  <dimension ref="B1:K26"/>
  <sheetViews>
    <sheetView rightToLeft="1" tabSelected="1" topLeftCell="B1" zoomScale="115" zoomScaleNormal="115" workbookViewId="0">
      <selection activeCell="M19" sqref="M19"/>
    </sheetView>
  </sheetViews>
  <sheetFormatPr defaultRowHeight="14.25" x14ac:dyDescent="0.2"/>
  <cols>
    <col min="2" max="2" width="4.875" customWidth="1"/>
    <col min="3" max="3" width="15.25" bestFit="1" customWidth="1"/>
    <col min="4" max="4" width="13.375" bestFit="1" customWidth="1"/>
    <col min="5" max="5" width="12.875" bestFit="1" customWidth="1"/>
    <col min="6" max="6" width="9.625" customWidth="1"/>
    <col min="7" max="7" width="10.75" customWidth="1"/>
    <col min="8" max="8" width="15.25" bestFit="1" customWidth="1"/>
    <col min="10" max="10" width="11.875" bestFit="1" customWidth="1"/>
    <col min="11" max="11" width="9" customWidth="1"/>
  </cols>
  <sheetData>
    <row r="1" spans="2:11" ht="15" thickBot="1" x14ac:dyDescent="0.25">
      <c r="B1" s="2"/>
      <c r="C1" s="3"/>
      <c r="D1" s="1"/>
      <c r="E1" s="2"/>
      <c r="F1" s="2"/>
      <c r="G1" s="2"/>
      <c r="H1" s="2"/>
      <c r="I1" s="2"/>
      <c r="J1" s="2"/>
      <c r="K1" s="1"/>
    </row>
    <row r="2" spans="2:11" x14ac:dyDescent="0.2">
      <c r="B2" s="2"/>
      <c r="C2" s="4" t="s">
        <v>22</v>
      </c>
      <c r="D2" s="20"/>
      <c r="E2" s="5"/>
      <c r="F2" s="2"/>
      <c r="G2" s="4" t="s">
        <v>23</v>
      </c>
      <c r="H2" s="20"/>
      <c r="I2" s="20"/>
      <c r="J2" s="5"/>
      <c r="K2" s="1"/>
    </row>
    <row r="3" spans="2:11" ht="15" thickBot="1" x14ac:dyDescent="0.25">
      <c r="B3" s="2"/>
      <c r="C3" s="6"/>
      <c r="D3" s="21"/>
      <c r="E3" s="7"/>
      <c r="F3" s="2"/>
      <c r="G3" s="6"/>
      <c r="H3" s="21"/>
      <c r="I3" s="21"/>
      <c r="J3" s="7"/>
      <c r="K3" s="1"/>
    </row>
    <row r="4" spans="2:11" ht="15" thickBot="1" x14ac:dyDescent="0.25">
      <c r="B4" s="2"/>
      <c r="C4" s="1"/>
      <c r="D4" s="1"/>
      <c r="E4" s="1"/>
      <c r="F4" s="2"/>
      <c r="G4" s="2"/>
      <c r="H4" s="2"/>
      <c r="I4" s="2"/>
      <c r="J4" s="2"/>
      <c r="K4" s="2"/>
    </row>
    <row r="5" spans="2:11" ht="15" thickBot="1" x14ac:dyDescent="0.25">
      <c r="B5" s="2"/>
      <c r="C5" s="8" t="s">
        <v>4</v>
      </c>
      <c r="D5" s="8" t="s">
        <v>6</v>
      </c>
      <c r="E5" s="8" t="s">
        <v>7</v>
      </c>
      <c r="F5" s="2"/>
      <c r="G5" s="4" t="s">
        <v>18</v>
      </c>
      <c r="H5" s="5"/>
      <c r="I5" s="2"/>
      <c r="J5" s="2"/>
      <c r="K5" s="2"/>
    </row>
    <row r="6" spans="2:11" ht="15" thickBot="1" x14ac:dyDescent="0.25">
      <c r="B6" s="2"/>
      <c r="C6" s="8" t="s">
        <v>0</v>
      </c>
      <c r="D6" s="8">
        <v>85</v>
      </c>
      <c r="E6" s="8">
        <f>D6/1000</f>
        <v>8.5000000000000006E-2</v>
      </c>
      <c r="F6" s="2"/>
      <c r="G6" s="6"/>
      <c r="H6" s="7"/>
      <c r="I6" s="8" t="s">
        <v>17</v>
      </c>
      <c r="J6" s="8" t="s">
        <v>12</v>
      </c>
      <c r="K6" s="2"/>
    </row>
    <row r="7" spans="2:11" ht="15" thickBot="1" x14ac:dyDescent="0.25">
      <c r="B7" s="2"/>
      <c r="C7" s="8" t="s">
        <v>1</v>
      </c>
      <c r="D7" s="8">
        <v>95</v>
      </c>
      <c r="E7" s="8">
        <f t="shared" ref="E7:E9" si="0">D7/1000</f>
        <v>9.5000000000000001E-2</v>
      </c>
      <c r="F7" s="2"/>
      <c r="G7" s="9" t="s">
        <v>4</v>
      </c>
      <c r="H7" s="10" t="s">
        <v>0</v>
      </c>
      <c r="I7" s="8"/>
      <c r="J7" s="11">
        <f>E6*I7</f>
        <v>0</v>
      </c>
      <c r="K7" s="2"/>
    </row>
    <row r="8" spans="2:11" ht="15" thickBot="1" x14ac:dyDescent="0.25">
      <c r="B8" s="2"/>
      <c r="C8" s="8" t="s">
        <v>2</v>
      </c>
      <c r="D8" s="8">
        <v>115</v>
      </c>
      <c r="E8" s="8">
        <f t="shared" si="0"/>
        <v>0.115</v>
      </c>
      <c r="F8" s="2"/>
      <c r="G8" s="12"/>
      <c r="H8" s="8" t="s">
        <v>1</v>
      </c>
      <c r="I8" s="8"/>
      <c r="J8" s="11">
        <f>E7*I8</f>
        <v>0</v>
      </c>
      <c r="K8" s="2"/>
    </row>
    <row r="9" spans="2:11" ht="15" thickBot="1" x14ac:dyDescent="0.25">
      <c r="B9" s="2"/>
      <c r="C9" s="8" t="s">
        <v>3</v>
      </c>
      <c r="D9" s="8">
        <v>140</v>
      </c>
      <c r="E9" s="8">
        <f t="shared" si="0"/>
        <v>0.14000000000000001</v>
      </c>
      <c r="F9" s="2"/>
      <c r="G9" s="12"/>
      <c r="H9" s="8" t="s">
        <v>2</v>
      </c>
      <c r="I9" s="8">
        <v>75</v>
      </c>
      <c r="J9" s="11">
        <f>E8*I9</f>
        <v>8.625</v>
      </c>
      <c r="K9" s="2"/>
    </row>
    <row r="10" spans="2:11" ht="15" thickBot="1" x14ac:dyDescent="0.25">
      <c r="B10" s="2"/>
      <c r="C10" s="2"/>
      <c r="D10" s="2"/>
      <c r="E10" s="2"/>
      <c r="F10" s="2"/>
      <c r="G10" s="13"/>
      <c r="H10" s="8" t="s">
        <v>3</v>
      </c>
      <c r="I10" s="14"/>
      <c r="J10" s="11">
        <f>E9*I10</f>
        <v>0</v>
      </c>
      <c r="K10" s="2"/>
    </row>
    <row r="11" spans="2:11" ht="15" thickBot="1" x14ac:dyDescent="0.25">
      <c r="B11" s="2"/>
      <c r="C11" s="2"/>
      <c r="D11" s="2"/>
      <c r="E11" s="2"/>
      <c r="F11" s="2"/>
      <c r="G11" s="9" t="s">
        <v>8</v>
      </c>
      <c r="H11" s="8" t="s">
        <v>9</v>
      </c>
      <c r="I11" s="14">
        <v>4.1666666666666664E-2</v>
      </c>
      <c r="J11" s="11">
        <f>D13*24*I11</f>
        <v>25</v>
      </c>
      <c r="K11" s="2"/>
    </row>
    <row r="12" spans="2:11" ht="15" thickBot="1" x14ac:dyDescent="0.25">
      <c r="B12" s="2"/>
      <c r="C12" s="8" t="s">
        <v>8</v>
      </c>
      <c r="D12" s="8" t="s">
        <v>5</v>
      </c>
      <c r="E12" s="2"/>
      <c r="F12" s="2"/>
      <c r="G12" s="12"/>
      <c r="H12" s="8" t="s">
        <v>10</v>
      </c>
      <c r="I12" s="14">
        <v>0.1111111111111111</v>
      </c>
      <c r="J12" s="11">
        <f>D14*24*I12</f>
        <v>26.666666666666664</v>
      </c>
      <c r="K12" s="2"/>
    </row>
    <row r="13" spans="2:11" ht="15" thickBot="1" x14ac:dyDescent="0.25">
      <c r="B13" s="2"/>
      <c r="C13" s="8" t="s">
        <v>9</v>
      </c>
      <c r="D13" s="8">
        <v>25</v>
      </c>
      <c r="E13" s="2"/>
      <c r="F13" s="2"/>
      <c r="G13" s="13"/>
      <c r="H13" s="8" t="s">
        <v>15</v>
      </c>
      <c r="I13" s="14">
        <v>2.0833333333333332E-2</v>
      </c>
      <c r="J13" s="11">
        <f>D15*24*I13</f>
        <v>12.5</v>
      </c>
      <c r="K13" s="2"/>
    </row>
    <row r="14" spans="2:11" ht="15" thickBot="1" x14ac:dyDescent="0.25">
      <c r="B14" s="2"/>
      <c r="C14" s="8" t="s">
        <v>10</v>
      </c>
      <c r="D14" s="8">
        <v>10</v>
      </c>
      <c r="E14" s="2"/>
      <c r="F14" s="2"/>
      <c r="G14" s="9" t="s">
        <v>11</v>
      </c>
      <c r="H14" s="8" t="s">
        <v>16</v>
      </c>
      <c r="I14" s="8">
        <v>1</v>
      </c>
      <c r="J14" s="15">
        <f>D18*I14</f>
        <v>3</v>
      </c>
      <c r="K14" s="2"/>
    </row>
    <row r="15" spans="2:11" ht="15" thickBot="1" x14ac:dyDescent="0.25">
      <c r="B15" s="2"/>
      <c r="C15" s="8" t="s">
        <v>15</v>
      </c>
      <c r="D15" s="8">
        <v>25</v>
      </c>
      <c r="E15" s="2"/>
      <c r="F15" s="2"/>
      <c r="G15" s="12"/>
      <c r="H15" s="8" t="s">
        <v>14</v>
      </c>
      <c r="I15" s="8"/>
      <c r="J15" s="15">
        <f>D19*I15</f>
        <v>0</v>
      </c>
      <c r="K15" s="2"/>
    </row>
    <row r="16" spans="2:11" ht="15" thickBot="1" x14ac:dyDescent="0.25">
      <c r="B16" s="2"/>
      <c r="C16" s="2"/>
      <c r="D16" s="2"/>
      <c r="E16" s="2"/>
      <c r="F16" s="2"/>
      <c r="G16" s="13"/>
      <c r="H16" s="8" t="s">
        <v>13</v>
      </c>
      <c r="I16" s="8"/>
      <c r="J16" s="15">
        <f>D20*I16</f>
        <v>0</v>
      </c>
      <c r="K16" s="1"/>
    </row>
    <row r="17" spans="2:11" ht="15" thickBot="1" x14ac:dyDescent="0.25">
      <c r="B17" s="2"/>
      <c r="C17" s="8" t="s">
        <v>11</v>
      </c>
      <c r="D17" s="8" t="s">
        <v>12</v>
      </c>
      <c r="E17" s="2"/>
      <c r="F17" s="2"/>
      <c r="G17" s="1"/>
      <c r="H17" s="1"/>
      <c r="I17" s="1"/>
      <c r="J17" s="1"/>
      <c r="K17" s="1"/>
    </row>
    <row r="18" spans="2:11" ht="15" thickBot="1" x14ac:dyDescent="0.25">
      <c r="B18" s="2"/>
      <c r="C18" s="8" t="s">
        <v>16</v>
      </c>
      <c r="D18" s="8">
        <v>3</v>
      </c>
      <c r="E18" s="2"/>
      <c r="F18" s="2"/>
      <c r="G18" s="16" t="s">
        <v>21</v>
      </c>
      <c r="H18" s="17"/>
      <c r="I18" s="18"/>
      <c r="J18" s="15">
        <f>J11</f>
        <v>25</v>
      </c>
      <c r="K18" s="1"/>
    </row>
    <row r="19" spans="2:11" ht="15" thickBot="1" x14ac:dyDescent="0.25">
      <c r="B19" s="2"/>
      <c r="C19" s="8" t="s">
        <v>14</v>
      </c>
      <c r="D19" s="8">
        <v>5</v>
      </c>
      <c r="E19" s="2"/>
      <c r="F19" s="2"/>
      <c r="G19" s="1"/>
      <c r="H19" s="1"/>
      <c r="I19" s="1"/>
      <c r="J19" s="1"/>
      <c r="K19" s="2"/>
    </row>
    <row r="20" spans="2:11" ht="15" thickBot="1" x14ac:dyDescent="0.25">
      <c r="B20" s="2"/>
      <c r="C20" s="8" t="s">
        <v>13</v>
      </c>
      <c r="D20" s="8">
        <v>20</v>
      </c>
      <c r="E20" s="2"/>
      <c r="F20" s="2"/>
      <c r="G20" s="16" t="s">
        <v>20</v>
      </c>
      <c r="H20" s="17"/>
      <c r="I20" s="18"/>
      <c r="J20" s="11">
        <f>SUM(J7:J16)-J11</f>
        <v>50.791666666666657</v>
      </c>
      <c r="K20" s="2"/>
    </row>
    <row r="21" spans="2:11" ht="15" thickBot="1" x14ac:dyDescent="0.25">
      <c r="B21" s="2"/>
      <c r="C21" s="1"/>
      <c r="D21" s="1"/>
      <c r="E21" s="2"/>
      <c r="F21" s="2"/>
      <c r="G21" s="16" t="s">
        <v>17</v>
      </c>
      <c r="H21" s="17"/>
      <c r="I21" s="18"/>
      <c r="J21" s="8">
        <v>101</v>
      </c>
      <c r="K21" s="2"/>
    </row>
    <row r="22" spans="2:11" ht="15" thickBot="1" x14ac:dyDescent="0.25">
      <c r="B22" s="2"/>
      <c r="C22" s="1"/>
      <c r="D22" s="1"/>
      <c r="E22" s="2"/>
      <c r="F22" s="2"/>
      <c r="G22" s="16" t="s">
        <v>19</v>
      </c>
      <c r="H22" s="17"/>
      <c r="I22" s="18"/>
      <c r="J22" s="8">
        <f>IF(AND(J21&gt;1,J21&lt;=30), 0.9, IF(AND(J21&gt;30,J21&lt;=100), 0.8, IF(J21&gt;100, 0.75, 1)))</f>
        <v>0.75</v>
      </c>
      <c r="K22" s="2"/>
    </row>
    <row r="23" spans="2:11" ht="15" thickBot="1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2:11" ht="15" thickBot="1" x14ac:dyDescent="0.25">
      <c r="B24" s="1"/>
      <c r="C24" s="1"/>
      <c r="D24" s="1"/>
      <c r="E24" s="1"/>
      <c r="F24" s="1"/>
      <c r="G24" s="16" t="s">
        <v>24</v>
      </c>
      <c r="H24" s="17"/>
      <c r="I24" s="18"/>
      <c r="J24" s="19">
        <f>MROUND(J18+J20*J21*J22, 5)</f>
        <v>3870</v>
      </c>
      <c r="K24" s="2"/>
    </row>
    <row r="25" spans="2:11" x14ac:dyDescent="0.2">
      <c r="B25" s="1"/>
      <c r="C25" s="1"/>
      <c r="D25" s="1"/>
      <c r="E25" s="1"/>
      <c r="F25" s="1"/>
      <c r="G25" s="1"/>
      <c r="H25" s="1"/>
      <c r="I25" s="1"/>
      <c r="J25" s="1"/>
      <c r="K25" s="2"/>
    </row>
    <row r="26" spans="2:11" x14ac:dyDescent="0.2">
      <c r="B26" s="1"/>
      <c r="C26" s="1"/>
      <c r="D26" s="1"/>
      <c r="E26" s="1"/>
      <c r="F26" s="1"/>
      <c r="G26" s="1"/>
      <c r="H26" s="1"/>
      <c r="I26" s="1"/>
      <c r="J26" s="1"/>
      <c r="K26" s="2"/>
    </row>
  </sheetData>
  <mergeCells count="11">
    <mergeCell ref="G22:I22"/>
    <mergeCell ref="C2:E3"/>
    <mergeCell ref="G2:J3"/>
    <mergeCell ref="G5:H6"/>
    <mergeCell ref="G7:G10"/>
    <mergeCell ref="G11:G13"/>
    <mergeCell ref="G14:G16"/>
    <mergeCell ref="G20:I20"/>
    <mergeCell ref="G24:I24"/>
    <mergeCell ref="G18:I18"/>
    <mergeCell ref="G21:I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Ofir Hait</dc:creator>
  <cp:lastModifiedBy>Ofir Hait</cp:lastModifiedBy>
  <dcterms:created xsi:type="dcterms:W3CDTF">2026-01-13T12:25:57Z</dcterms:created>
  <dcterms:modified xsi:type="dcterms:W3CDTF">2026-01-13T14:50:29Z</dcterms:modified>
</cp:coreProperties>
</file>